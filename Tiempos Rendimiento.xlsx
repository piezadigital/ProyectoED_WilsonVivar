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bian\Documentos\UDV\SEMESTRE 3\estructura de datos\JAVA\"/>
    </mc:Choice>
  </mc:AlternateContent>
  <xr:revisionPtr revIDLastSave="0" documentId="13_ncr:1_{CBF7A5E5-9B8A-4212-A059-31E900DEB65B}" xr6:coauthVersionLast="47" xr6:coauthVersionMax="47" xr10:uidLastSave="{00000000-0000-0000-0000-000000000000}"/>
  <bookViews>
    <workbookView xWindow="28680" yWindow="-120" windowWidth="24240" windowHeight="13740" tabRatio="500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<sst xmlns="http://schemas.openxmlformats.org/spreadsheetml/2006/main" count="209" uniqueCount="73">
  <si>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</si>
  <si>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</si>
  <si>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</si>
  <si>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</si>
  <si>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</si>
  <si>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</si>
  <si>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</si>
  <si>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</si>
  <si>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</si>
  <si>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</si>
  <si>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</si>
  <si>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</si>
  <si>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</si>
  <si>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</si>
  <si>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</si>
  <si>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</si>
  <si>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</si>
  <si>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</si>
  <si>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</si>
  <si>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</si>
  <si>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</si>
  <si>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</si>
  <si>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</si>
  <si>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</si>
  <si>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</si>
  <si>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</si>
  <si>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</si>
  <si>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</si>
  <si>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</si>
  <si>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</si>
  <si>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</si>
  <si>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</si>
  <si>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</si>
  <si>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</si>
  <si>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</si>
  <si>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</si>
  <si>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</si>
  <si>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</si>
  <si>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</si>
  <si>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</si>
  <si>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</si>
  <si>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</si>
  <si>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</si>
  <si>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</si>
  <si>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</si>
  <si>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</si>
  <si>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</si>
  <si>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</si>
  <si>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</si>
  <si>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</si>
  <si>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</si>
  <si>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</si>
  <si>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</si>
  <si>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</si>
  <si>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</si>
  <si>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Si / No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</si>
  <si>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</si>
  <si>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</si>
  <si>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</si>
  <si>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</si>
  <si>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</si>
  <si>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</si>
  <si>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</si>
  <si>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</si>
  <si>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</si>
  <si>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</si>
  <si>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O(1)</t>
  </si>
  <si>
    <t>O(n log n)</t>
  </si>
  <si>
    <t>Si coincide ya que la grafica muestra lineas rectas.</t>
  </si>
  <si>
    <t>Si, la linea se dispara de forma ascendente.</t>
  </si>
  <si>
    <t>si, la linea crece suavemente.</t>
  </si>
  <si>
    <t>Si, la linea se dispara de forma creciente ascendente.</t>
  </si>
  <si>
    <t>No, en esta la linea Recursiva es más creciente.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</si>
</sst>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0.19902000000000003</c:v>
                </c:pt>
                <c:pt idx="1">
                  <c:v>8.1399999999999994E-4</c:v>
                </c:pt>
                <c:pt idx="2">
                  <c:v>9.1199999999999994E-4</c:v>
                </c:pt>
                <c:pt idx="3">
                  <c:v>1.0259999999999998E-3</c:v>
                </c:pt>
                <c:pt idx="4">
                  <c:v>1.1180000000000001E-3</c:v>
                </c:pt>
                <c:pt idx="5">
                  <c:v>1.7839999999999998E-3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1.8760000000000003E-3</c:v>
                </c:pt>
                <c:pt idx="1">
                  <c:v>1.4420000000000001E-3</c:v>
                </c:pt>
                <c:pt idx="2">
                  <c:v>2.6279999999999997E-3</c:v>
                </c:pt>
                <c:pt idx="3">
                  <c:v>2.114E-3</c:v>
                </c:pt>
                <c:pt idx="4">
                  <c:v>6.1399999999999996E-4</c:v>
                </c:pt>
                <c:pt idx="5">
                  <c:v>7.1400000000000001E-4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2.6199999999999999E-3</c:v>
                </c:pt>
                <c:pt idx="1">
                  <c:v>7.8600000000000002E-4</c:v>
                </c:pt>
                <c:pt idx="2">
                  <c:v>8.9600000000000009E-4</c:v>
                </c:pt>
                <c:pt idx="3">
                  <c:v>1.0300000000000001E-3</c:v>
                </c:pt>
                <c:pt idx="4">
                  <c:v>1.322E-3</c:v>
                </c:pt>
                <c:pt idx="5">
                  <c:v>1.5039999999999997E-3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9.0599999999999986E-3</c:v>
                </c:pt>
                <c:pt idx="1">
                  <c:v>2.1156000000000001E-2</c:v>
                </c:pt>
                <c:pt idx="2">
                  <c:v>2.647E-2</c:v>
                </c:pt>
                <c:pt idx="3">
                  <c:v>9.3958E-2</c:v>
                </c:pt>
                <c:pt idx="4">
                  <c:v>1.041426</c:v>
                </c:pt>
                <c:pt idx="5">
                  <c:v>11.115019999999999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0.188722</c:v>
                </c:pt>
                <c:pt idx="1">
                  <c:v>1.7204000000000001E-2</c:v>
                </c:pt>
                <c:pt idx="2">
                  <c:v>3.4329999999999999E-2</c:v>
                </c:pt>
                <c:pt idx="3">
                  <c:v>0.16800800000000002</c:v>
                </c:pt>
                <c:pt idx="4">
                  <c:v>6.9846000000000005E-2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1.6764000000000001E-2</c:v>
                </c:pt>
                <c:pt idx="1">
                  <c:v>8.6339999999999993E-3</c:v>
                </c:pt>
                <c:pt idx="2">
                  <c:v>2.7462000000000004E-2</c:v>
                </c:pt>
                <c:pt idx="3">
                  <c:v>3.3278000000000002E-2</c:v>
                </c:pt>
                <c:pt idx="4">
                  <c:v>5.8223999999999998E-2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0.42823400000000006</c:v>
                </c:pt>
                <c:pt idx="1">
                  <c:v>1.3480000000000001</c:v>
                </c:pt>
                <c:pt idx="2">
                  <c:v>0.88619999999999999</c:v>
                </c:pt>
                <c:pt idx="3">
                  <c:v>11.9765</c:v>
                </c:pt>
                <c:pt idx="4">
                  <c:v>53.146852000000003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0.150724</c:v>
                </c:pt>
                <c:pt idx="1">
                  <c:v>1.2039779999999998</c:v>
                </c:pt>
                <c:pt idx="2">
                  <c:v>1.8207639999999998</c:v>
                </c:pt>
                <c:pt idx="3">
                  <c:v>13.226722000000001</c:v>
                </c:pt>
                <c:pt idx="4">
                  <c:v>53.313416000000004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abSelected="1" zoomScaleNormal="100" workbookViewId="0">
      <selection activeCell="C5" sqref="C5:D5"/>
    </sheetView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36" t="s">
        <v>0</v>
      </c>
      <c r="C2" s="36"/>
      <c r="D2" s="36"/>
    </row>
    <row r="3" spans="2:4" ht="21.75" customHeight="1" x14ac:dyDescent="0.3">
      <c r="B3" s="37" t="s">
        <v>1</v>
      </c>
      <c r="C3" s="37"/>
      <c r="D3" s="37"/>
    </row>
    <row r="4" spans="2:4" ht="9.75" customHeight="1" x14ac:dyDescent="0.3"/>
    <row r="5" spans="2:4" ht="27.75" customHeight="1" x14ac:dyDescent="0.3">
      <c r="B5" s="31" t="s">
        <v>2</v>
      </c>
      <c r="C5" s="35" t="s">
        <v>3</v>
      </c>
      <c r="D5" s="35"/>
    </row>
    <row r="6" spans="2:4" ht="60" customHeight="1" x14ac:dyDescent="0.3">
      <c r="B6" s="31"/>
      <c r="C6" s="33"/>
      <c r="D6" s="33"/>
    </row>
    <row r="7" spans="2:4" ht="6" customHeight="1" x14ac:dyDescent="0.3"/>
    <row r="8" spans="2:4" ht="27.75" customHeight="1" x14ac:dyDescent="0.3">
      <c r="B8" s="31" t="s">
        <v>4</v>
      </c>
      <c r="C8" s="32" t="s">
        <v>5</v>
      </c>
      <c r="D8" s="32"/>
    </row>
    <row r="9" spans="2:4" ht="117.75" customHeight="1" x14ac:dyDescent="0.3">
      <c r="B9" s="31"/>
      <c r="C9" s="33"/>
      <c r="D9" s="33"/>
    </row>
    <row r="10" spans="2:4" ht="6" customHeight="1" x14ac:dyDescent="0.3"/>
    <row r="11" spans="2:4" ht="27.75" customHeight="1" x14ac:dyDescent="0.3">
      <c r="B11" s="31" t="s">
        <v>6</v>
      </c>
      <c r="C11" s="32" t="s">
        <v>7</v>
      </c>
      <c r="D11" s="32"/>
    </row>
    <row r="12" spans="2:4" ht="81.75" customHeight="1" x14ac:dyDescent="0.3">
      <c r="B12" s="31"/>
      <c r="C12" s="33"/>
      <c r="D12" s="33"/>
    </row>
    <row r="13" spans="2:4" ht="6" customHeight="1" x14ac:dyDescent="0.3"/>
    <row r="14" spans="2:4" ht="27.75" customHeight="1" x14ac:dyDescent="0.3">
      <c r="B14" s="31" t="s">
        <v>8</v>
      </c>
      <c r="C14" s="34" t="s">
        <v>9</v>
      </c>
      <c r="D14" s="34"/>
    </row>
    <row r="15" spans="2:4" ht="99.75" customHeight="1" x14ac:dyDescent="0.3">
      <c r="B15" s="31"/>
      <c r="C15" s="33"/>
      <c r="D15" s="33"/>
    </row>
    <row r="16" spans="2:4" ht="6" customHeight="1" x14ac:dyDescent="0.3"/>
    <row r="17" spans="2:4" ht="27.75" customHeight="1" x14ac:dyDescent="0.3">
      <c r="B17" s="31" t="s">
        <v>10</v>
      </c>
      <c r="C17" s="35" t="s">
        <v>11</v>
      </c>
      <c r="D17" s="35"/>
    </row>
    <row r="18" spans="2:4" ht="99.75" customHeight="1" x14ac:dyDescent="0.3">
      <c r="B18" s="31"/>
      <c r="C18" s="33"/>
      <c r="D18" s="33"/>
    </row>
    <row r="19" spans="2:4" ht="6" customHeight="1" x14ac:dyDescent="0.3"/>
    <row r="20" spans="2:4" ht="27.75" customHeight="1" x14ac:dyDescent="0.3">
      <c r="B20" s="31" t="s">
        <v>12</v>
      </c>
      <c r="C20" s="32" t="s">
        <v>13</v>
      </c>
      <c r="D20" s="32"/>
    </row>
    <row r="21" spans="2:4" ht="81.75" customHeight="1" x14ac:dyDescent="0.3">
      <c r="B21" s="31"/>
      <c r="C21" s="33"/>
      <c r="D21" s="33"/>
    </row>
    <row r="22" spans="2:4" ht="6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="115" zoomScaleNormal="115" workbookViewId="0">
      <pane ySplit="2" topLeftCell="A45" activePane="bottomLeft" state="frozen"/>
      <selection pane="bottomLeft" activeCell="I49" sqref="I49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3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v>0.17415</v>
      </c>
      <c r="F3" s="6">
        <v>0.21184</v>
      </c>
      <c r="G3" s="6">
        <v>0.1749</v>
      </c>
      <c r="H3" s="6">
        <v>0.20413000000000001</v>
      </c>
      <c r="I3" s="6">
        <v>0.23008000000000001</v>
      </c>
      <c r="J3" s="7">
        <f t="shared" ref="J3:J14" si="0">AVERAGE(E3:I3)</f>
        <v>0.19902000000000003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v>1.0200000000000001E-3</v>
      </c>
      <c r="F4" s="6">
        <v>8.3000000000000001E-4</v>
      </c>
      <c r="G4" s="6">
        <v>6.2E-4</v>
      </c>
      <c r="H4" s="6">
        <v>8.8999999999999995E-4</v>
      </c>
      <c r="I4" s="6">
        <v>7.1000000000000002E-4</v>
      </c>
      <c r="J4" s="7">
        <f t="shared" si="0"/>
        <v>8.1399999999999994E-4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v>8.8999999999999995E-4</v>
      </c>
      <c r="F5" s="6">
        <v>9.6000000000000002E-4</v>
      </c>
      <c r="G5" s="6">
        <v>7.2999999999999996E-4</v>
      </c>
      <c r="H5" s="6">
        <v>9.3999999999999997E-4</v>
      </c>
      <c r="I5" s="6">
        <v>1.0399999999999999E-3</v>
      </c>
      <c r="J5" s="7">
        <f t="shared" si="0"/>
        <v>9.1199999999999994E-4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v>1.33E-3</v>
      </c>
      <c r="F6" s="6">
        <v>9.6000000000000002E-4</v>
      </c>
      <c r="G6" s="6">
        <v>8.0000000000000004E-4</v>
      </c>
      <c r="H6" s="6">
        <v>8.5999999999999998E-4</v>
      </c>
      <c r="I6" s="6">
        <v>1.1800000000000001E-3</v>
      </c>
      <c r="J6" s="7">
        <f t="shared" si="0"/>
        <v>1.0259999999999998E-3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v>1.2700000000000001E-3</v>
      </c>
      <c r="F7" s="6">
        <v>9.1E-4</v>
      </c>
      <c r="G7" s="6">
        <v>1.5399999999999999E-3</v>
      </c>
      <c r="H7" s="6">
        <v>9.3000000000000005E-4</v>
      </c>
      <c r="I7" s="6">
        <v>9.3999999999999997E-4</v>
      </c>
      <c r="J7" s="7">
        <f t="shared" si="0"/>
        <v>1.1180000000000001E-3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v>1.74E-3</v>
      </c>
      <c r="F8" s="6">
        <v>1.8500000000000001E-3</v>
      </c>
      <c r="G8" s="6">
        <v>1.49E-3</v>
      </c>
      <c r="H8" s="6">
        <v>2.0799999999999998E-3</v>
      </c>
      <c r="I8" s="6">
        <v>1.7600000000000001E-3</v>
      </c>
      <c r="J8" s="7">
        <f t="shared" si="0"/>
        <v>1.7839999999999998E-3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v>2.3500000000000001E-3</v>
      </c>
      <c r="F9" s="6">
        <v>2.3600000000000001E-3</v>
      </c>
      <c r="G9" s="6">
        <v>1.57E-3</v>
      </c>
      <c r="H9" s="6">
        <v>1.42E-3</v>
      </c>
      <c r="I9" s="6">
        <v>1.6800000000000001E-3</v>
      </c>
      <c r="J9" s="7">
        <f t="shared" si="0"/>
        <v>1.8760000000000003E-3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v>1.57E-3</v>
      </c>
      <c r="F10" s="6">
        <v>1.48E-3</v>
      </c>
      <c r="G10" s="6">
        <v>1.1000000000000001E-3</v>
      </c>
      <c r="H10" s="6">
        <v>1.6199999999999999E-3</v>
      </c>
      <c r="I10" s="6">
        <v>1.4400000000000001E-3</v>
      </c>
      <c r="J10" s="7">
        <f t="shared" si="0"/>
        <v>1.4420000000000001E-3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v>3.8300000000000001E-3</v>
      </c>
      <c r="F11" s="6">
        <v>2.4099999999999998E-3</v>
      </c>
      <c r="G11" s="6">
        <v>2.64E-3</v>
      </c>
      <c r="H11" s="6">
        <v>1.65E-3</v>
      </c>
      <c r="I11" s="6">
        <v>2.6099999999999999E-3</v>
      </c>
      <c r="J11" s="7">
        <f t="shared" si="0"/>
        <v>2.6279999999999997E-3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v>6.4000000000000005E-4</v>
      </c>
      <c r="F12" s="6">
        <v>4.8000000000000001E-4</v>
      </c>
      <c r="G12" s="6">
        <v>5.1000000000000004E-4</v>
      </c>
      <c r="H12" s="6">
        <v>8.26E-3</v>
      </c>
      <c r="I12" s="6">
        <v>6.8000000000000005E-4</v>
      </c>
      <c r="J12" s="7">
        <f t="shared" si="0"/>
        <v>2.114E-3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v>6.7000000000000002E-4</v>
      </c>
      <c r="F13" s="6">
        <v>6.3000000000000003E-4</v>
      </c>
      <c r="G13" s="6">
        <v>5.2999999999999998E-4</v>
      </c>
      <c r="H13" s="6">
        <v>5.0000000000000001E-4</v>
      </c>
      <c r="I13" s="6">
        <v>7.3999999999999999E-4</v>
      </c>
      <c r="J13" s="7">
        <f t="shared" si="0"/>
        <v>6.1399999999999996E-4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v>7.2000000000000005E-4</v>
      </c>
      <c r="F14" s="6">
        <v>8.8000000000000003E-4</v>
      </c>
      <c r="G14" s="6">
        <v>7.3999999999999999E-4</v>
      </c>
      <c r="H14" s="6">
        <v>6.6E-4</v>
      </c>
      <c r="I14" s="6">
        <v>5.6999999999999998E-4</v>
      </c>
      <c r="J14" s="7">
        <f t="shared" si="0"/>
        <v>7.1400000000000001E-4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v>2.7000000000000001E-3</v>
      </c>
      <c r="F16" s="6">
        <v>2.7100000000000002E-3</v>
      </c>
      <c r="G16" s="6">
        <v>2.31E-3</v>
      </c>
      <c r="H16" s="6">
        <v>3.31E-3</v>
      </c>
      <c r="I16" s="6">
        <v>2.0699999999999998E-3</v>
      </c>
      <c r="J16" s="7">
        <f t="shared" ref="J16:J27" si="1">AVERAGE(E16:I16)</f>
        <v>2.6199999999999999E-3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v>6.8999999999999997E-4</v>
      </c>
      <c r="F17" s="6">
        <v>1E-3</v>
      </c>
      <c r="G17" s="6">
        <v>7.2000000000000005E-4</v>
      </c>
      <c r="H17" s="6">
        <v>6.8000000000000005E-4</v>
      </c>
      <c r="I17" s="6">
        <v>8.4000000000000003E-4</v>
      </c>
      <c r="J17" s="7">
        <f t="shared" si="1"/>
        <v>7.8600000000000002E-4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v>1.07E-3</v>
      </c>
      <c r="F18" s="6">
        <v>7.9000000000000001E-4</v>
      </c>
      <c r="G18" s="6">
        <v>8.4999999999999995E-4</v>
      </c>
      <c r="H18" s="6">
        <v>8.0999999999999996E-4</v>
      </c>
      <c r="I18" s="6">
        <v>9.6000000000000002E-4</v>
      </c>
      <c r="J18" s="7">
        <f t="shared" si="1"/>
        <v>8.9600000000000009E-4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v>9.7999999999999997E-4</v>
      </c>
      <c r="F19" s="6">
        <v>1.0300000000000001E-3</v>
      </c>
      <c r="G19" s="6">
        <v>9.7000000000000005E-4</v>
      </c>
      <c r="H19" s="6">
        <v>9.6000000000000002E-4</v>
      </c>
      <c r="I19" s="6">
        <v>1.2099999999999999E-3</v>
      </c>
      <c r="J19" s="7">
        <f t="shared" si="1"/>
        <v>1.0300000000000001E-3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v>1.1299999999999999E-3</v>
      </c>
      <c r="F20" s="6">
        <v>1.1800000000000001E-3</v>
      </c>
      <c r="G20" s="6">
        <v>1.07E-3</v>
      </c>
      <c r="H20" s="6">
        <v>1.8400000000000001E-3</v>
      </c>
      <c r="I20" s="6">
        <v>1.39E-3</v>
      </c>
      <c r="J20" s="7">
        <f t="shared" si="1"/>
        <v>1.322E-3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v>1.39E-3</v>
      </c>
      <c r="F21" s="6">
        <v>1.3699999999999999E-3</v>
      </c>
      <c r="G21" s="6">
        <v>1.47E-3</v>
      </c>
      <c r="H21" s="6">
        <v>1.41E-3</v>
      </c>
      <c r="I21" s="6">
        <v>1.8799999999999999E-3</v>
      </c>
      <c r="J21" s="7">
        <f t="shared" si="1"/>
        <v>1.5039999999999997E-3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v>7.4799999999999997E-3</v>
      </c>
      <c r="F22" s="6">
        <v>8.5000000000000006E-3</v>
      </c>
      <c r="G22" s="6">
        <v>8.0800000000000004E-3</v>
      </c>
      <c r="H22" s="6">
        <v>8.4499999999999992E-3</v>
      </c>
      <c r="I22" s="6">
        <v>1.2789999999999999E-2</v>
      </c>
      <c r="J22" s="7">
        <f t="shared" si="1"/>
        <v>9.0599999999999986E-3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v>1.7909999999999999E-2</v>
      </c>
      <c r="F23" s="6">
        <v>2.3619999999999999E-2</v>
      </c>
      <c r="G23" s="6">
        <v>1.8280000000000001E-2</v>
      </c>
      <c r="H23" s="6">
        <v>2.1999999999999999E-2</v>
      </c>
      <c r="I23" s="6">
        <v>2.3970000000000002E-2</v>
      </c>
      <c r="J23" s="7">
        <f t="shared" si="1"/>
        <v>2.1156000000000001E-2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v>2.887E-2</v>
      </c>
      <c r="F24" s="6">
        <v>2.2530000000000001E-2</v>
      </c>
      <c r="G24" s="6">
        <v>2.376E-2</v>
      </c>
      <c r="H24" s="6">
        <v>2.9600000000000001E-2</v>
      </c>
      <c r="I24" s="6">
        <v>2.759E-2</v>
      </c>
      <c r="J24" s="7">
        <f t="shared" si="1"/>
        <v>2.647E-2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v>8.3400000000000002E-2</v>
      </c>
      <c r="F25" s="6">
        <v>8.7999999999999995E-2</v>
      </c>
      <c r="G25" s="6">
        <v>8.6720000000000005E-2</v>
      </c>
      <c r="H25" s="6">
        <v>9.9729999999999999E-2</v>
      </c>
      <c r="I25" s="6">
        <v>0.11194</v>
      </c>
      <c r="J25" s="7">
        <f t="shared" si="1"/>
        <v>9.3958E-2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v>0.92545999999999995</v>
      </c>
      <c r="F26" s="6">
        <v>0.95777000000000001</v>
      </c>
      <c r="G26" s="6">
        <v>0.92090000000000005</v>
      </c>
      <c r="H26" s="6">
        <v>1.25728</v>
      </c>
      <c r="I26" s="6">
        <v>1.1457200000000001</v>
      </c>
      <c r="J26" s="7">
        <f t="shared" si="1"/>
        <v>1.041426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v>10.815289999999999</v>
      </c>
      <c r="F27" s="6">
        <v>11.41597</v>
      </c>
      <c r="G27" s="6">
        <v>10.864459999999999</v>
      </c>
      <c r="H27" s="6">
        <v>11.65441</v>
      </c>
      <c r="I27" s="6">
        <v>10.82497</v>
      </c>
      <c r="J27" s="7">
        <f t="shared" si="1"/>
        <v>11.115019999999999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v>0.18823000000000001</v>
      </c>
      <c r="F29" s="6">
        <v>0.23347999999999999</v>
      </c>
      <c r="G29" s="6">
        <v>0.17987</v>
      </c>
      <c r="H29" s="6">
        <v>0.15845999999999999</v>
      </c>
      <c r="I29" s="6">
        <v>0.18357000000000001</v>
      </c>
      <c r="J29" s="7">
        <f t="shared" ref="J29:J38" si="2">AVERAGE(E29:I29)</f>
        <v>0.188722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v>1.7899999999999999E-2</v>
      </c>
      <c r="F30" s="6">
        <v>1.319E-2</v>
      </c>
      <c r="G30" s="6">
        <v>1.592E-2</v>
      </c>
      <c r="H30" s="6">
        <v>2.5839999999999998E-2</v>
      </c>
      <c r="I30" s="6">
        <v>1.3169999999999999E-2</v>
      </c>
      <c r="J30" s="7">
        <f t="shared" si="2"/>
        <v>1.7204000000000001E-2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v>3.5229999999999997E-2</v>
      </c>
      <c r="F31" s="6">
        <v>3.4340000000000002E-2</v>
      </c>
      <c r="G31" s="6">
        <v>3.124E-2</v>
      </c>
      <c r="H31" s="6">
        <v>3.7420000000000002E-2</v>
      </c>
      <c r="I31" s="6">
        <v>3.3419999999999998E-2</v>
      </c>
      <c r="J31" s="7">
        <f t="shared" si="2"/>
        <v>3.4329999999999999E-2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v>0.18148</v>
      </c>
      <c r="F32" s="6">
        <v>0.18457999999999999</v>
      </c>
      <c r="G32" s="6">
        <v>0.16564000000000001</v>
      </c>
      <c r="H32" s="6">
        <v>0.17927000000000001</v>
      </c>
      <c r="I32" s="6">
        <v>0.12906999999999999</v>
      </c>
      <c r="J32" s="7">
        <f t="shared" si="2"/>
        <v>0.16800800000000002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v>6.3159999999999994E-2</v>
      </c>
      <c r="F33" s="6">
        <v>5.9650000000000002E-2</v>
      </c>
      <c r="G33" s="6">
        <v>7.0370000000000002E-2</v>
      </c>
      <c r="H33" s="6">
        <v>5.7840000000000003E-2</v>
      </c>
      <c r="I33" s="6">
        <v>9.8210000000000006E-2</v>
      </c>
      <c r="J33" s="7">
        <f t="shared" si="2"/>
        <v>6.9846000000000005E-2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v>1.6709999999999999E-2</v>
      </c>
      <c r="F34" s="6">
        <v>1.7260000000000001E-2</v>
      </c>
      <c r="G34" s="6">
        <v>1.9890000000000001E-2</v>
      </c>
      <c r="H34" s="6">
        <v>1.4030000000000001E-2</v>
      </c>
      <c r="I34" s="6">
        <v>1.593E-2</v>
      </c>
      <c r="J34" s="7">
        <f t="shared" si="2"/>
        <v>1.6764000000000001E-2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v>9.1599999999999997E-3</v>
      </c>
      <c r="F35" s="6">
        <v>6.8900000000000003E-3</v>
      </c>
      <c r="G35" s="6">
        <v>1.038E-2</v>
      </c>
      <c r="H35" s="6">
        <v>8.5599999999999999E-3</v>
      </c>
      <c r="I35" s="6">
        <v>8.1799999999999998E-3</v>
      </c>
      <c r="J35" s="7">
        <f t="shared" si="2"/>
        <v>8.6339999999999993E-3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v>5.0500000000000003E-2</v>
      </c>
      <c r="F36" s="6">
        <v>2.5219999999999999E-2</v>
      </c>
      <c r="G36" s="6">
        <v>2.3640000000000001E-2</v>
      </c>
      <c r="H36" s="6">
        <v>1.7680000000000001E-2</v>
      </c>
      <c r="I36" s="6">
        <v>2.027E-2</v>
      </c>
      <c r="J36" s="7">
        <f t="shared" si="2"/>
        <v>2.7462000000000004E-2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v>3.7440000000000001E-2</v>
      </c>
      <c r="F37" s="6">
        <v>3.406E-2</v>
      </c>
      <c r="G37" s="6">
        <v>3.474E-2</v>
      </c>
      <c r="H37" s="6">
        <v>2.7490000000000001E-2</v>
      </c>
      <c r="I37" s="6">
        <v>3.2660000000000002E-2</v>
      </c>
      <c r="J37" s="7">
        <f t="shared" si="2"/>
        <v>3.3278000000000002E-2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v>5.1630000000000002E-2</v>
      </c>
      <c r="F38" s="6">
        <v>8.3879999999999996E-2</v>
      </c>
      <c r="G38" s="6">
        <v>4.6539999999999998E-2</v>
      </c>
      <c r="H38" s="6">
        <v>4.7300000000000002E-2</v>
      </c>
      <c r="I38" s="6">
        <v>6.1769999999999999E-2</v>
      </c>
      <c r="J38" s="7">
        <f t="shared" si="2"/>
        <v>5.8223999999999998E-2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v>0.37297999999999998</v>
      </c>
      <c r="F40" s="6">
        <v>0.45347999999999999</v>
      </c>
      <c r="G40" s="6">
        <v>0.44320999999999999</v>
      </c>
      <c r="H40" s="6">
        <v>0.45208999999999999</v>
      </c>
      <c r="I40" s="6">
        <v>0.41941000000000001</v>
      </c>
      <c r="J40" s="7">
        <f t="shared" ref="J40:J49" si="3">AVERAGE(E40:I40)</f>
        <v>0.42823400000000006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v>0.99834999999999996</v>
      </c>
      <c r="F41" s="6">
        <v>1.4905200000000001</v>
      </c>
      <c r="G41" s="6">
        <v>1.53582</v>
      </c>
      <c r="H41" s="6">
        <v>1.6182399999999999</v>
      </c>
      <c r="I41" s="6">
        <v>1.09707</v>
      </c>
      <c r="J41" s="7">
        <f t="shared" si="3"/>
        <v>1.3480000000000001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v>0.63766999999999996</v>
      </c>
      <c r="F42" s="6">
        <v>0.82472999999999996</v>
      </c>
      <c r="G42" s="6">
        <v>0.84121999999999997</v>
      </c>
      <c r="H42" s="6">
        <v>1.4359299999999999</v>
      </c>
      <c r="I42" s="6">
        <v>0.69145000000000001</v>
      </c>
      <c r="J42" s="7">
        <f t="shared" si="3"/>
        <v>0.88619999999999999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v>11.576309999999999</v>
      </c>
      <c r="F43" s="6">
        <v>11.78233</v>
      </c>
      <c r="G43" s="6">
        <v>12.491770000000001</v>
      </c>
      <c r="H43" s="6">
        <v>12.15741</v>
      </c>
      <c r="I43" s="6">
        <v>11.87468</v>
      </c>
      <c r="J43" s="7">
        <f t="shared" si="3"/>
        <v>11.9765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v>51.730499999999999</v>
      </c>
      <c r="F44" s="6">
        <v>52.721589999999999</v>
      </c>
      <c r="G44" s="6">
        <v>58.13794</v>
      </c>
      <c r="H44" s="6">
        <v>51.633510000000001</v>
      </c>
      <c r="I44" s="6">
        <v>51.510719999999999</v>
      </c>
      <c r="J44" s="7">
        <f t="shared" si="3"/>
        <v>53.146852000000003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v>0.14488999999999999</v>
      </c>
      <c r="F45" s="6">
        <v>0.14227999999999999</v>
      </c>
      <c r="G45" s="6">
        <v>0.12753</v>
      </c>
      <c r="H45" s="6">
        <v>0.1676</v>
      </c>
      <c r="I45" s="6">
        <v>0.17132</v>
      </c>
      <c r="J45" s="7">
        <f t="shared" si="3"/>
        <v>0.150724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v>0.91785000000000005</v>
      </c>
      <c r="F46" s="6">
        <v>0.99700999999999995</v>
      </c>
      <c r="G46" s="6">
        <v>1.54545</v>
      </c>
      <c r="H46" s="6">
        <v>1.2225600000000001</v>
      </c>
      <c r="I46" s="6">
        <v>1.3370200000000001</v>
      </c>
      <c r="J46" s="7">
        <f t="shared" si="3"/>
        <v>1.2039779999999998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v>1.63222</v>
      </c>
      <c r="F47" s="6">
        <v>2.31297</v>
      </c>
      <c r="G47" s="6">
        <v>1.42005</v>
      </c>
      <c r="H47" s="6">
        <v>1.8153699999999999</v>
      </c>
      <c r="I47" s="6">
        <v>1.9232100000000001</v>
      </c>
      <c r="J47" s="7">
        <f t="shared" si="3"/>
        <v>1.8207639999999998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v>11.10393</v>
      </c>
      <c r="F48" s="6">
        <v>13.526210000000001</v>
      </c>
      <c r="G48" s="6">
        <v>11.32527</v>
      </c>
      <c r="H48" s="6">
        <v>12.178269999999999</v>
      </c>
      <c r="I48" s="6">
        <v>17.999929999999999</v>
      </c>
      <c r="J48" s="7">
        <f t="shared" si="3"/>
        <v>13.226722000000001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v>52.363410000000002</v>
      </c>
      <c r="F49" s="6">
        <v>55.228900000000003</v>
      </c>
      <c r="G49" s="6">
        <v>52.101439999999997</v>
      </c>
      <c r="H49" s="6">
        <v>54.079810000000002</v>
      </c>
      <c r="I49" s="6">
        <v>52.793520000000001</v>
      </c>
      <c r="J49" s="7">
        <f t="shared" si="3"/>
        <v>53.313416000000004</v>
      </c>
    </row>
    <row r="52" spans="2:10" ht="14.4" x14ac:dyDescent="0.3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I23" sqref="I23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31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0.19902000000000003</v>
      </c>
      <c r="D5" s="14">
        <f>AVERAGEIFS('1. Datos_Crudos'!$J:$J,'1. Datos_Crudos'!$B:$B,"A1 - Factorial",'1. Datos_Crudos'!$C:$C,"Recursivo",'1. Datos_Crudos'!$D:$D,B5)</f>
        <v>1.8760000000000003E-3</v>
      </c>
    </row>
    <row r="6" spans="2:4" ht="19.5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8.1399999999999994E-4</v>
      </c>
      <c r="D6" s="17">
        <f>AVERAGEIFS('1. Datos_Crudos'!$J:$J,'1. Datos_Crudos'!$B:$B,"A1 - Factorial",'1. Datos_Crudos'!$C:$C,"Recursivo",'1. Datos_Crudos'!$D:$D,B6)</f>
        <v>1.4420000000000001E-3</v>
      </c>
    </row>
    <row r="7" spans="2:4" ht="19.5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9.1199999999999994E-4</v>
      </c>
      <c r="D7" s="14">
        <f>AVERAGEIFS('1. Datos_Crudos'!$J:$J,'1. Datos_Crudos'!$B:$B,"A1 - Factorial",'1. Datos_Crudos'!$C:$C,"Recursivo",'1. Datos_Crudos'!$D:$D,B7)</f>
        <v>2.6279999999999997E-3</v>
      </c>
    </row>
    <row r="8" spans="2:4" ht="19.5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1.0259999999999998E-3</v>
      </c>
      <c r="D8" s="17">
        <f>AVERAGEIFS('1. Datos_Crudos'!$J:$J,'1. Datos_Crudos'!$B:$B,"A1 - Factorial",'1. Datos_Crudos'!$C:$C,"Recursivo",'1. Datos_Crudos'!$D:$D,B8)</f>
        <v>2.114E-3</v>
      </c>
    </row>
    <row r="9" spans="2:4" ht="19.5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1.1180000000000001E-3</v>
      </c>
      <c r="D9" s="14">
        <f>AVERAGEIFS('1. Datos_Crudos'!$J:$J,'1. Datos_Crudos'!$B:$B,"A1 - Factorial",'1. Datos_Crudos'!$C:$C,"Recursivo",'1. Datos_Crudos'!$D:$D,B9)</f>
        <v>6.1399999999999996E-4</v>
      </c>
    </row>
    <row r="10" spans="2:4" ht="19.5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1.7839999999999998E-3</v>
      </c>
      <c r="D10" s="17">
        <f>AVERAGEIFS('1. Datos_Crudos'!$J:$J,'1. Datos_Crudos'!$B:$B,"A1 - Factorial",'1. Datos_Crudos'!$C:$C,"Recursivo",'1. Datos_Crudos'!$D:$D,B10)</f>
        <v>7.1400000000000001E-4</v>
      </c>
    </row>
    <row r="12" spans="2:4" ht="39.75" customHeight="1" x14ac:dyDescent="0.3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38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8" t="s">
        <v>39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40</v>
      </c>
    </row>
    <row r="5" spans="2:4" ht="19.5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2.6199999999999999E-3</v>
      </c>
      <c r="D5" s="19">
        <f>AVERAGEIFS('1. Datos_Crudos'!$J:$J,'1. Datos_Crudos'!$B:$B,"A2 - Fibonacci",'1. Datos_Crudos'!$C:$C,"Recursivo",'1. Datos_Crudos'!$D:$D,B5)</f>
        <v>9.0599999999999986E-3</v>
      </c>
    </row>
    <row r="6" spans="2:4" ht="19.5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7.8600000000000002E-4</v>
      </c>
      <c r="D6" s="20">
        <f>AVERAGEIFS('1. Datos_Crudos'!$J:$J,'1. Datos_Crudos'!$B:$B,"A2 - Fibonacci",'1. Datos_Crudos'!$C:$C,"Recursivo",'1. Datos_Crudos'!$D:$D,B6)</f>
        <v>2.1156000000000001E-2</v>
      </c>
    </row>
    <row r="7" spans="2:4" ht="19.5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8.9600000000000009E-4</v>
      </c>
      <c r="D7" s="19">
        <f>AVERAGEIFS('1. Datos_Crudos'!$J:$J,'1. Datos_Crudos'!$B:$B,"A2 - Fibonacci",'1. Datos_Crudos'!$C:$C,"Recursivo",'1. Datos_Crudos'!$D:$D,B7)</f>
        <v>2.647E-2</v>
      </c>
    </row>
    <row r="8" spans="2:4" ht="19.5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1.0300000000000001E-3</v>
      </c>
      <c r="D8" s="20">
        <f>AVERAGEIFS('1. Datos_Crudos'!$J:$J,'1. Datos_Crudos'!$B:$B,"A2 - Fibonacci",'1. Datos_Crudos'!$C:$C,"Recursivo",'1. Datos_Crudos'!$D:$D,B8)</f>
        <v>9.3958E-2</v>
      </c>
    </row>
    <row r="9" spans="2:4" ht="19.5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1.322E-3</v>
      </c>
      <c r="D9" s="19">
        <f>AVERAGEIFS('1. Datos_Crudos'!$J:$J,'1. Datos_Crudos'!$B:$B,"A2 - Fibonacci",'1. Datos_Crudos'!$C:$C,"Recursivo",'1. Datos_Crudos'!$D:$D,B9)</f>
        <v>1.041426</v>
      </c>
    </row>
    <row r="10" spans="2:4" ht="19.5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1.5039999999999997E-3</v>
      </c>
      <c r="D10" s="20">
        <f>AVERAGEIFS('1. Datos_Crudos'!$J:$J,'1. Datos_Crudos'!$B:$B,"A2 - Fibonacci",'1. Datos_Crudos'!$C:$C,"Recursivo",'1. Datos_Crudos'!$D:$D,B10)</f>
        <v>11.115019999999999</v>
      </c>
    </row>
    <row r="12" spans="2:4" ht="39.75" customHeight="1" x14ac:dyDescent="0.3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42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0.188722</v>
      </c>
      <c r="D5" s="14">
        <f>AVERAGEIFS('1. Datos_Crudos'!$J:$J,'1. Datos_Crudos'!$B:$B,"A3 - Busqueda Lineal",'1. Datos_Crudos'!$C:$C,"Recursivo",'1. Datos_Crudos'!$D:$D,B5)</f>
        <v>1.6764000000000001E-2</v>
      </c>
    </row>
    <row r="6" spans="2:4" ht="19.5" customHeight="1" x14ac:dyDescent="0.3">
      <c r="B6" s="15">
        <v>500</v>
      </c>
      <c r="C6" s="16">
        <f>AVERAGEIFS('1. Datos_Crudos'!$J:$J,'1. Datos_Crudos'!$B:$B,"A3 - Busqueda Lineal",'1. Datos_Crudos'!$C:$C,"Iterativo",'1. Datos_Crudos'!$D:$D,B6)</f>
        <v>1.7204000000000001E-2</v>
      </c>
      <c r="D6" s="17">
        <f>AVERAGEIFS('1. Datos_Crudos'!$J:$J,'1. Datos_Crudos'!$B:$B,"A3 - Busqueda Lineal",'1. Datos_Crudos'!$C:$C,"Recursivo",'1. Datos_Crudos'!$D:$D,B6)</f>
        <v>8.6339999999999993E-3</v>
      </c>
    </row>
    <row r="7" spans="2:4" ht="19.5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3.4329999999999999E-2</v>
      </c>
      <c r="D7" s="14">
        <f>AVERAGEIFS('1. Datos_Crudos'!$J:$J,'1. Datos_Crudos'!$B:$B,"A3 - Busqueda Lineal",'1. Datos_Crudos'!$C:$C,"Recursivo",'1. Datos_Crudos'!$D:$D,B7)</f>
        <v>2.7462000000000004E-2</v>
      </c>
    </row>
    <row r="8" spans="2:4" ht="19.5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0.16800800000000002</v>
      </c>
      <c r="D8" s="17">
        <f>AVERAGEIFS('1. Datos_Crudos'!$J:$J,'1. Datos_Crudos'!$B:$B,"A3 - Busqueda Lineal",'1. Datos_Crudos'!$C:$C,"Recursivo",'1. Datos_Crudos'!$D:$D,B8)</f>
        <v>3.3278000000000002E-2</v>
      </c>
    </row>
    <row r="9" spans="2:4" ht="19.5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6.9846000000000005E-2</v>
      </c>
      <c r="D9" s="14">
        <f>AVERAGEIFS('1. Datos_Crudos'!$J:$J,'1. Datos_Crudos'!$B:$B,"A3 - Busqueda Lineal",'1. Datos_Crudos'!$C:$C,"Recursivo",'1. Datos_Crudos'!$D:$D,B9)</f>
        <v>5.8223999999999998E-2</v>
      </c>
    </row>
    <row r="11" spans="2:4" ht="39.75" customHeight="1" x14ac:dyDescent="0.3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44</v>
      </c>
      <c r="C1" s="38"/>
      <c r="D1" s="38"/>
    </row>
    <row r="2" spans="2:4" ht="21.75" customHeight="1" x14ac:dyDescent="0.3">
      <c r="B2" s="3" t="s">
        <v>32</v>
      </c>
      <c r="C2" s="11" t="s">
        <v>45</v>
      </c>
      <c r="D2" s="11" t="s">
        <v>46</v>
      </c>
    </row>
    <row r="3" spans="2:4" ht="9.75" customHeight="1" x14ac:dyDescent="0.3"/>
    <row r="4" spans="2:4" ht="30" customHeight="1" x14ac:dyDescent="0.3">
      <c r="B4" s="1" t="s">
        <v>17</v>
      </c>
      <c r="C4" s="1" t="s">
        <v>47</v>
      </c>
      <c r="D4" s="2" t="s">
        <v>48</v>
      </c>
    </row>
    <row r="5" spans="2:4" ht="19.5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0.42823400000000006</v>
      </c>
      <c r="D5" s="14">
        <f>AVERAGEIFS('1. Datos_Crudos'!$J:$J,'1. Datos_Crudos'!$B:$B,"A4 - Burbuja",'1. Datos_Crudos'!$C:$C,"Recursivo",'1. Datos_Crudos'!$D:$D,B5)</f>
        <v>0.150724</v>
      </c>
    </row>
    <row r="6" spans="2:4" ht="19.5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1.3480000000000001</v>
      </c>
      <c r="D6" s="17">
        <f>AVERAGEIFS('1. Datos_Crudos'!$J:$J,'1. Datos_Crudos'!$B:$B,"A4 - Burbuja",'1. Datos_Crudos'!$C:$C,"Recursivo",'1. Datos_Crudos'!$D:$D,B6)</f>
        <v>1.2039779999999998</v>
      </c>
    </row>
    <row r="7" spans="2:4" ht="19.5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0.88619999999999999</v>
      </c>
      <c r="D7" s="14">
        <f>AVERAGEIFS('1. Datos_Crudos'!$J:$J,'1. Datos_Crudos'!$B:$B,"A4 - Burbuja",'1. Datos_Crudos'!$C:$C,"Recursivo",'1. Datos_Crudos'!$D:$D,B7)</f>
        <v>1.8207639999999998</v>
      </c>
    </row>
    <row r="8" spans="2:4" ht="19.5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11.9765</v>
      </c>
      <c r="D8" s="17">
        <f>AVERAGEIFS('1. Datos_Crudos'!$J:$J,'1. Datos_Crudos'!$B:$B,"A4 - Burbuja",'1. Datos_Crudos'!$C:$C,"Recursivo",'1. Datos_Crudos'!$D:$D,B8)</f>
        <v>13.226722000000001</v>
      </c>
    </row>
    <row r="9" spans="2:4" ht="19.5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53.146852000000003</v>
      </c>
      <c r="D9" s="14">
        <f>AVERAGEIFS('1. Datos_Crudos'!$J:$J,'1. Datos_Crudos'!$B:$B,"A4 - Burbuja",'1. Datos_Crudos'!$C:$C,"Recursivo",'1. Datos_Crudos'!$D:$D,B9)</f>
        <v>53.313416000000004</v>
      </c>
    </row>
    <row r="11" spans="2:4" ht="39.75" customHeight="1" x14ac:dyDescent="0.3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G9" sqref="G9"/>
    </sheetView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8" t="s">
        <v>50</v>
      </c>
      <c r="C1" s="38"/>
      <c r="D1" s="38"/>
      <c r="E1" s="38"/>
      <c r="F1" s="38"/>
      <c r="G1" s="38"/>
    </row>
    <row r="2" spans="2:7" ht="9.75" customHeight="1" x14ac:dyDescent="0.3"/>
    <row r="3" spans="2:7" ht="30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3">
      <c r="B4" s="23" t="s">
        <v>24</v>
      </c>
      <c r="C4" s="24" t="s">
        <v>25</v>
      </c>
      <c r="D4" s="25" t="s">
        <v>66</v>
      </c>
      <c r="E4" s="23" t="s">
        <v>33</v>
      </c>
      <c r="F4" s="26" t="s">
        <v>55</v>
      </c>
      <c r="G4" s="27" t="s">
        <v>68</v>
      </c>
    </row>
    <row r="5" spans="2:7" ht="21.75" customHeight="1" x14ac:dyDescent="0.3">
      <c r="B5" s="28" t="s">
        <v>24</v>
      </c>
      <c r="C5" s="29" t="s">
        <v>26</v>
      </c>
      <c r="D5" s="25" t="s">
        <v>66</v>
      </c>
      <c r="E5" s="28" t="s">
        <v>33</v>
      </c>
      <c r="F5" s="26" t="s">
        <v>55</v>
      </c>
      <c r="G5" s="27" t="s">
        <v>68</v>
      </c>
    </row>
    <row r="6" spans="2:7" ht="21.75" customHeight="1" x14ac:dyDescent="0.3">
      <c r="B6" s="23" t="s">
        <v>27</v>
      </c>
      <c r="C6" s="24" t="s">
        <v>25</v>
      </c>
      <c r="D6" s="25" t="s">
        <v>66</v>
      </c>
      <c r="E6" s="23" t="s">
        <v>33</v>
      </c>
      <c r="F6" s="26" t="s">
        <v>55</v>
      </c>
      <c r="G6" s="27" t="s">
        <v>68</v>
      </c>
    </row>
    <row r="7" spans="2:7" ht="21.75" customHeight="1" x14ac:dyDescent="0.3">
      <c r="B7" s="28" t="s">
        <v>27</v>
      </c>
      <c r="C7" s="29" t="s">
        <v>26</v>
      </c>
      <c r="D7" s="25" t="s">
        <v>45</v>
      </c>
      <c r="E7" s="28" t="s">
        <v>56</v>
      </c>
      <c r="F7" s="26" t="s">
        <v>55</v>
      </c>
      <c r="G7" s="27" t="s">
        <v>69</v>
      </c>
    </row>
    <row r="8" spans="2:7" ht="21.75" customHeight="1" x14ac:dyDescent="0.3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55</v>
      </c>
      <c r="G8" s="27" t="s">
        <v>70</v>
      </c>
    </row>
    <row r="9" spans="2:7" ht="21.75" customHeight="1" x14ac:dyDescent="0.3">
      <c r="B9" s="28" t="s">
        <v>28</v>
      </c>
      <c r="C9" s="29" t="s">
        <v>26</v>
      </c>
      <c r="D9" s="25" t="s">
        <v>67</v>
      </c>
      <c r="E9" s="28" t="s">
        <v>33</v>
      </c>
      <c r="F9" s="26" t="s">
        <v>55</v>
      </c>
      <c r="G9" s="27" t="s">
        <v>72</v>
      </c>
    </row>
    <row r="10" spans="2:7" ht="21.75" customHeight="1" x14ac:dyDescent="0.3">
      <c r="B10" s="23" t="s">
        <v>29</v>
      </c>
      <c r="C10" s="24" t="s">
        <v>25</v>
      </c>
      <c r="D10" s="25" t="s">
        <v>45</v>
      </c>
      <c r="E10" s="23" t="s">
        <v>45</v>
      </c>
      <c r="F10" s="26" t="s">
        <v>55</v>
      </c>
      <c r="G10" s="27" t="s">
        <v>71</v>
      </c>
    </row>
    <row r="11" spans="2:7" ht="21.75" customHeight="1" x14ac:dyDescent="0.3">
      <c r="B11" s="28" t="s">
        <v>29</v>
      </c>
      <c r="C11" s="29" t="s">
        <v>26</v>
      </c>
      <c r="D11" s="25" t="s">
        <v>45</v>
      </c>
      <c r="E11" s="28" t="s">
        <v>45</v>
      </c>
      <c r="F11" s="26" t="s">
        <v>55</v>
      </c>
      <c r="G11" s="27" t="s">
        <v>71</v>
      </c>
    </row>
    <row r="14" spans="2:7" ht="7.5" customHeight="1" x14ac:dyDescent="0.3"/>
    <row r="15" spans="2:7" ht="15" customHeight="1" x14ac:dyDescent="0.3">
      <c r="B15" s="42" t="s">
        <v>57</v>
      </c>
      <c r="C15" s="42"/>
      <c r="D15" s="42"/>
      <c r="E15" s="42"/>
      <c r="F15" s="42"/>
      <c r="G15" s="42"/>
    </row>
    <row r="16" spans="2:7" ht="19.5" customHeight="1" x14ac:dyDescent="0.3">
      <c r="B16" s="3" t="s">
        <v>58</v>
      </c>
      <c r="C16" s="43" t="s">
        <v>59</v>
      </c>
      <c r="D16" s="43"/>
      <c r="E16" s="43"/>
      <c r="F16" s="43"/>
      <c r="G16" s="43"/>
    </row>
    <row r="17" spans="2:7" ht="19.5" customHeight="1" x14ac:dyDescent="0.3">
      <c r="B17" s="8" t="s">
        <v>60</v>
      </c>
      <c r="C17" s="44" t="s">
        <v>61</v>
      </c>
      <c r="D17" s="44"/>
      <c r="E17" s="44"/>
      <c r="F17" s="44"/>
      <c r="G17" s="44"/>
    </row>
    <row r="18" spans="2:7" ht="19.5" customHeight="1" x14ac:dyDescent="0.3">
      <c r="B18" s="3" t="s">
        <v>62</v>
      </c>
      <c r="C18" s="43" t="s">
        <v>63</v>
      </c>
      <c r="D18" s="43"/>
      <c r="E18" s="43"/>
      <c r="F18" s="43"/>
      <c r="G18" s="43"/>
    </row>
    <row r="19" spans="2:7" ht="19.5" customHeight="1" x14ac:dyDescent="0.3">
      <c r="B19" s="30" t="s">
        <v>64</v>
      </c>
      <c r="C19" s="41" t="s">
        <v>65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Vivar Solis, Wilson Oswaldo</cp:lastModifiedBy>
  <cp:revision>1</cp:revision>
  <dcterms:created xsi:type="dcterms:W3CDTF">2026-02-20T06:55:59Z</dcterms:created>
  <dcterms:modified xsi:type="dcterms:W3CDTF">2026-03-04T05:12:22Z</dcterms:modified>
  <dc:language>en-US</dc:language>
</cp:coreProperties>
</file>